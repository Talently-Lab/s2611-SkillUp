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eventos" sheetId="1" r:id="rId5"/>
    <sheet state="visible" name="eventos" sheetId="2" r:id="rId6"/>
    <sheet state="visible" name="Embudo" sheetId="3" r:id="rId7"/>
  </sheets>
  <definedNames/>
  <calcPr/>
</workbook>
</file>

<file path=xl/sharedStrings.xml><?xml version="1.0" encoding="utf-8"?>
<sst xmlns="http://schemas.openxmlformats.org/spreadsheetml/2006/main" count="150" uniqueCount="93">
  <si>
    <t>Embudo de registro y Tasa de conversión de registro</t>
  </si>
  <si>
    <t>Estos datos de prueba se utilizan en la hoja "Embudo" para realizar los cálculos.</t>
  </si>
  <si>
    <t>Matriz de eventos del embudo de registro (propuesta)</t>
  </si>
  <si>
    <t>Todo se calcula solo a partir de la hoja eventos. Se cuentan sesiones distintas, no eventos.</t>
  </si>
  <si>
    <t>fecha</t>
  </si>
  <si>
    <t>evento</t>
  </si>
  <si>
    <t>session_id</t>
  </si>
  <si>
    <t>error_type</t>
  </si>
  <si>
    <t>error_field</t>
  </si>
  <si>
    <t>2026-10-12 10:00</t>
  </si>
  <si>
    <t>Eventos que Front envía a GA4 en /registro</t>
  </si>
  <si>
    <t>view_register_form</t>
  </si>
  <si>
    <t>s1</t>
  </si>
  <si>
    <t>2026-10-12 10:01</t>
  </si>
  <si>
    <t>2026-10-12 10:02</t>
  </si>
  <si>
    <t>click_register</t>
  </si>
  <si>
    <t>register_success</t>
  </si>
  <si>
    <t>2026-10-12 10:05</t>
  </si>
  <si>
    <t>GA4 Agrega automáticamente la fecha, hora, sesión y la página de cada evento. Los eventos se activan en cada sesión (si una persona recarga el formulario de registro en poco tiempo, se cuenta una sola vez)</t>
  </si>
  <si>
    <t>s2</t>
  </si>
  <si>
    <t>2026-10-12 10:06</t>
  </si>
  <si>
    <t>2026-10-12 10:10</t>
  </si>
  <si>
    <t>s3</t>
  </si>
  <si>
    <t>2026-10-12 10:11</t>
  </si>
  <si>
    <t>2026-10-12 10:15</t>
  </si>
  <si>
    <t>Paso</t>
  </si>
  <si>
    <t>s4</t>
  </si>
  <si>
    <t>Paso (orden)</t>
  </si>
  <si>
    <t>2026-10-12 10:16</t>
  </si>
  <si>
    <t>Evento</t>
  </si>
  <si>
    <t>Sesiones</t>
  </si>
  <si>
    <t>2026-10-12 10:20</t>
  </si>
  <si>
    <t>s5</t>
  </si>
  <si>
    <t>2026-10-12 10:21</t>
  </si>
  <si>
    <t>Nombre del evento</t>
  </si>
  <si>
    <t>% respecto de quienes llegaron al paso anterior</t>
  </si>
  <si>
    <t>Cuándo se dispara</t>
  </si>
  <si>
    <t>register_error</t>
  </si>
  <si>
    <t>correo_duplicado</t>
  </si>
  <si>
    <t>Parámetros extra (para categorizar errores)</t>
  </si>
  <si>
    <t>2026-10-12 10:25</t>
  </si>
  <si>
    <t>Ejemplos de parámetros</t>
  </si>
  <si>
    <t>s6</t>
  </si>
  <si>
    <t>2026-10-12 10:26</t>
  </si>
  <si>
    <t>validacion_formulario</t>
  </si>
  <si>
    <t>contrasenia</t>
  </si>
  <si>
    <t>2026-10-12 10:30</t>
  </si>
  <si>
    <t>s7</t>
  </si>
  <si>
    <t>2026-10-12 10:35</t>
  </si>
  <si>
    <t>s8</t>
  </si>
  <si>
    <t>Al abrir /registro, una sola vez por visita a la página</t>
  </si>
  <si>
    <t>2026-10-12 10:40</t>
  </si>
  <si>
    <t>s9</t>
  </si>
  <si>
    <t>Al presionar el botón de registro, antes de validar los datos</t>
  </si>
  <si>
    <t>2026-10-12 10:45</t>
  </si>
  <si>
    <t>s10</t>
  </si>
  <si>
    <t>Cuando la API responde 201</t>
  </si>
  <si>
    <t>Cuando la validación del formulario falla o la API responde con error</t>
  </si>
  <si>
    <t>error_type: error_field (solo si error_type = validacion_formulario)</t>
  </si>
  <si>
    <t>error_type: "validacion_formulario", error_field: "contrasenia"</t>
  </si>
  <si>
    <t>Por privacidad, ningún evento incluye correo, nombre, contraseña, token ni mensajes de error completos. También, el registro no inicia sesión, así que los eventos no envían user_id</t>
  </si>
  <si>
    <t>Valores de error_type</t>
  </si>
  <si>
    <t>Cuándo ocurre</t>
  </si>
  <si>
    <t>Origen</t>
  </si>
  <si>
    <t>El formulario rechaza los datos antes de enviarlos (por validación de Zod). error_field indica si el problema viene de correo o contrasenia</t>
  </si>
  <si>
    <t>Frontend</t>
  </si>
  <si>
    <t>datos_incompletos</t>
  </si>
  <si>
    <t>La API responde 400: la petición llegó sin correo o contrasenia.</t>
  </si>
  <si>
    <t>Backend</t>
  </si>
  <si>
    <t>La API responde 409: hay una cuenta registrada con ese mismo e-mail.</t>
  </si>
  <si>
    <t>error_servidor</t>
  </si>
  <si>
    <t>La API responde 5xx, lo que indica problemas del servidor, de momento no es de mucha utilidad fijarse en el error en específico, pero lo categórizamos.</t>
  </si>
  <si>
    <t>sin_conexion</t>
  </si>
  <si>
    <t>La API no responde (status 0 en el cliente de API)</t>
  </si>
  <si>
    <t>Error de red</t>
  </si>
  <si>
    <t>—</t>
  </si>
  <si>
    <t>Indicadores</t>
  </si>
  <si>
    <t>Indicador</t>
  </si>
  <si>
    <t>Fórmula</t>
  </si>
  <si>
    <t>Valor</t>
  </si>
  <si>
    <t>Para qué nos sirve.</t>
  </si>
  <si>
    <t>Tasa de Conversión de Registro (KPI 1)</t>
  </si>
  <si>
    <t>sesiones con register_success / sesiones con view_register_form</t>
  </si>
  <si>
    <t>Mide la tasa de conversión de registros reales a partir de personas que entran a la vista del registro.</t>
  </si>
  <si>
    <t>Tasa de intento</t>
  </si>
  <si>
    <t>sesiones con click_register / sesiones con view_register_form</t>
  </si>
  <si>
    <t>Esto indica qué tantas personas presionaron en registrarse una vez vieron el registro. Si es una baja cantidad, hay un problema con la vista de registro: revisar UI/UX y textos.</t>
  </si>
  <si>
    <t>Tasa de error</t>
  </si>
  <si>
    <t>sesiones con register_error / sesiones con click_register</t>
  </si>
  <si>
    <t>Mientras más alta, más personas han visto la vista de registro, han presionado en registrarse, pero algo ha salido mal. Hay que fijarse en el tipo de error para entender qué está fallando particularmente.</t>
  </si>
  <si>
    <t>Errores por tipo</t>
  </si>
  <si>
    <t>Cantidad de errores</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</si>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</sst>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b/>
      <sz val="14.0"/>
      <color theme="1"/>
      <name val="Arial"/>
    </font>
    <font>
      <b/>
      <sz val="11.0"/>
      <color rgb="FFFFFFFF"/>
      <name val="Arial"/>
    </font>
    <font>
      <sz val="11.0"/>
      <color rgb="FF0000FF"/>
      <name val="Arial"/>
    </font>
    <font>
      <i/>
      <sz val="11.0"/>
      <color rgb="FF595959"/>
      <name val="Arial"/>
    </font>
    <font>
      <color theme="1"/>
      <name val="Calibri"/>
      <scheme val="minor"/>
    </font>
    <font>
      <sz val="11.0"/>
      <color theme="1"/>
      <name val="Arial"/>
    </font>
    <font>
      <b/>
      <sz val="11.0"/>
      <color theme="1"/>
      <name val="Arial"/>
    </font>
  </fonts>
  <fills count="4">
    <fill>
      <patternFill patternType="none"/>
    </fill>
    <fill>
      <patternFill patternType="lightGray"/>
    </fill>
    <fill>
      <patternFill patternType="solid">
        <fgColor rgb="FF1F4E78"/>
        <bgColor rgb="FF1F4E78"/>
      </patternFill>
    </fill>
    <fill>
      <patternFill patternType="solid">
        <fgColor rgb="FFE2EFDA"/>
        <bgColor rgb="FFE2EFDA"/>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readingOrder="0" shrinkToFit="0" vertical="top" wrapText="1"/>
    </xf>
    <xf borderId="1" fillId="2" fontId="2" numFmtId="0" xfId="0" applyAlignment="1" applyBorder="1" applyFill="1" applyFont="1">
      <alignment shrinkToFit="0" vertical="top" wrapText="1"/>
    </xf>
    <xf borderId="1" fillId="0" fontId="3" numFmtId="0" xfId="0" applyAlignment="1" applyBorder="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5" numFmtId="0" xfId="0" applyAlignment="1" applyFont="1">
      <alignment readingOrder="0"/>
    </xf>
    <xf borderId="1" fillId="2" fontId="2" numFmtId="0" xfId="0" applyAlignment="1" applyBorder="1" applyFill="1" applyFont="1">
      <alignment readingOrder="0" shrinkToFit="0" vertical="top" wrapText="1"/>
    </xf>
    <xf borderId="1" fillId="0" fontId="6" numFmtId="0" xfId="0" applyAlignment="1" applyBorder="1" applyFont="1">
      <alignment shrinkToFit="0" vertical="bottom" wrapText="0"/>
    </xf>
    <xf borderId="1" fillId="0" fontId="6" numFmtId="0" xfId="0" applyAlignment="1" applyBorder="1" applyFont="1">
      <alignment shrinkToFit="0" vertical="top" wrapText="1"/>
    </xf>
    <xf borderId="1" fillId="0" fontId="6" numFmtId="0" xfId="0" applyAlignment="1" applyBorder="1" applyFont="1">
      <alignment readingOrder="0" shrinkToFit="0" vertical="top" wrapText="1"/>
    </xf>
    <xf borderId="0" fillId="0" fontId="7" numFmtId="0" xfId="0" applyAlignment="1" applyFont="1">
      <alignment shrinkToFit="0" vertical="bottom" wrapText="0"/>
    </xf>
    <xf borderId="1" fillId="0" fontId="6" numFmtId="164" xfId="0" applyAlignment="1" applyBorder="1" applyFont="1" applyNumberFormat="1">
      <alignment shrinkToFit="0" vertical="bottom" wrapText="0"/>
    </xf>
    <xf borderId="1" fillId="3" fontId="7" numFmtId="0" xfId="0" applyAlignment="1" applyBorder="1" applyFill="1" applyFont="1">
      <alignment shrinkToFit="0" vertical="top" wrapText="1"/>
    </xf>
    <xf borderId="1" fillId="3" fontId="6" numFmtId="0" xfId="0" applyAlignment="1" applyBorder="1" applyFill="1" applyFont="1">
      <alignment shrinkToFit="0" vertical="top" wrapText="1"/>
    </xf>
    <xf borderId="1" fillId="3" fontId="6" numFmtId="164" xfId="0" applyAlignment="1" applyBorder="1" applyFill="1" applyFont="1" applyNumberFormat="1">
      <alignment shrinkToFit="0" vertical="top" wrapText="1"/>
    </xf>
    <xf borderId="1" fillId="3" fontId="6" numFmtId="0" xfId="0" applyAlignment="1" applyBorder="1" applyFill="1" applyFont="1">
      <alignment readingOrder="0" shrinkToFit="0" vertical="top" wrapText="1"/>
    </xf>
    <xf borderId="1" fillId="0" fontId="6" numFmtId="164"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3" width="48.0"/>
    <col customWidth="1" min="4" max="5" width="40.0"/>
    <col customWidth="1" min="6" max="26" width="8.71"/>
  </cols>
  <sheetData>
    <row r="1">
      <c r="A1" s="1" t="s">
        <v>2</v>
      </c>
    </row>
    <row r="2">
      <c r="A2" s="5" t="s">
        <v>10</v>
      </c>
    </row>
    <row r="3">
      <c r="A3" s="7" t="s">
        <v>18</v>
      </c>
    </row>
    <row r="4">
      <c r="A4" s="8" t="s">
        <v>27</v>
      </c>
      <c r="B4" s="8" t="s">
        <v>34</v>
      </c>
      <c r="C4" s="3" t="s">
        <v>36</v>
      </c>
      <c r="D4" s="8" t="s">
        <v>39</v>
      </c>
      <c r="E4" s="8" t="s">
        <v>41</v>
      </c>
    </row>
    <row r="5">
      <c r="A5" s="10">
        <v>1.0</v>
      </c>
      <c r="B5" s="10" t="s">
        <v>11</v>
      </c>
      <c r="C5" s="10" t="s">
        <v>50</v>
      </c>
      <c r="D5" s="10"/>
      <c r="E5" s="10"/>
    </row>
    <row r="6">
      <c r="A6" s="10">
        <v>2.0</v>
      </c>
      <c r="B6" s="10" t="s">
        <v>15</v>
      </c>
      <c r="C6" s="10" t="s">
        <v>53</v>
      </c>
      <c r="D6" s="10"/>
      <c r="E6" s="10"/>
    </row>
    <row r="7">
      <c r="A7" s="10">
        <v>3.0</v>
      </c>
      <c r="B7" s="10" t="s">
        <v>16</v>
      </c>
      <c r="C7" s="10" t="s">
        <v>56</v>
      </c>
      <c r="D7" s="10"/>
      <c r="E7" s="10"/>
    </row>
    <row r="8">
      <c r="A8" s="10">
        <v>3.0</v>
      </c>
      <c r="B8" s="10" t="s">
        <v>37</v>
      </c>
      <c r="C8" s="10" t="s">
        <v>57</v>
      </c>
      <c r="D8" s="11" t="s">
        <v>58</v>
      </c>
      <c r="E8" s="10" t="s">
        <v>59</v>
      </c>
    </row>
    <row r="10">
      <c r="A10" s="5" t="s">
        <v>60</v>
      </c>
    </row>
    <row r="12">
      <c r="A12" s="12" t="s">
        <v>61</v>
      </c>
    </row>
    <row r="13">
      <c r="A13" s="3" t="s">
        <v>7</v>
      </c>
      <c r="B13" s="3" t="s">
        <v>62</v>
      </c>
      <c r="C13" s="3" t="s">
        <v>63</v>
      </c>
    </row>
    <row r="14">
      <c r="A14" s="10" t="s">
        <v>44</v>
      </c>
      <c r="B14" s="11" t="s">
        <v>64</v>
      </c>
      <c r="C14" s="10" t="s">
        <v>65</v>
      </c>
    </row>
    <row r="15">
      <c r="A15" s="10" t="s">
        <v>66</v>
      </c>
      <c r="B15" s="11" t="s">
        <v>67</v>
      </c>
      <c r="C15" s="10" t="s">
        <v>68</v>
      </c>
    </row>
    <row r="16">
      <c r="A16" s="10" t="s">
        <v>38</v>
      </c>
      <c r="B16" s="11" t="s">
        <v>69</v>
      </c>
      <c r="C16" s="10" t="s">
        <v>68</v>
      </c>
    </row>
    <row r="17">
      <c r="A17" s="10" t="s">
        <v>70</v>
      </c>
      <c r="B17" s="11" t="s">
        <v>71</v>
      </c>
      <c r="C17" s="10" t="s">
        <v>68</v>
      </c>
    </row>
    <row r="18">
      <c r="A18" s="10" t="s">
        <v>72</v>
      </c>
      <c r="B18" s="10" t="s">
        <v>73</v>
      </c>
      <c r="C18" s="11" t="s">
        <v>74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22.0"/>
    <col customWidth="1" min="3" max="3" width="12.0"/>
    <col customWidth="1" min="4" max="4" width="24.0"/>
    <col customWidth="1" min="5" max="5" width="14.0"/>
    <col customWidth="1" min="6" max="26" width="8.71"/>
  </cols>
  <sheetData>
    <row r="1">
      <c r="A1" s="2" t="s">
        <v>1</v>
      </c>
    </row>
    <row r="2">
      <c r="A2" s="3" t="s">
        <v>4</v>
      </c>
      <c r="B2" s="3" t="s">
        <v>5</v>
      </c>
      <c r="C2" s="3" t="s">
        <v>6</v>
      </c>
      <c r="D2" s="3" t="s">
        <v>7</v>
      </c>
      <c r="E2" s="3" t="s">
        <v>8</v>
      </c>
    </row>
    <row r="3">
      <c r="A3" s="4" t="s">
        <v>9</v>
      </c>
      <c r="B3" s="4" t="s">
        <v>11</v>
      </c>
      <c r="C3" s="4" t="s">
        <v>12</v>
      </c>
      <c r="D3" s="4"/>
      <c r="E3" s="4"/>
    </row>
    <row r="4">
      <c r="A4" s="4" t="s">
        <v>13</v>
      </c>
      <c r="B4" s="4" t="s">
        <v>11</v>
      </c>
      <c r="C4" s="4" t="s">
        <v>12</v>
      </c>
      <c r="D4" s="4"/>
      <c r="E4" s="4"/>
    </row>
    <row r="5">
      <c r="A5" s="4" t="s">
        <v>14</v>
      </c>
      <c r="B5" s="4" t="s">
        <v>15</v>
      </c>
      <c r="C5" s="4" t="s">
        <v>12</v>
      </c>
      <c r="D5" s="4"/>
      <c r="E5" s="4"/>
    </row>
    <row r="6">
      <c r="A6" s="4" t="s">
        <v>14</v>
      </c>
      <c r="B6" s="4" t="s">
        <v>16</v>
      </c>
      <c r="C6" s="4" t="s">
        <v>12</v>
      </c>
      <c r="D6" s="4"/>
      <c r="E6" s="4"/>
    </row>
    <row r="7">
      <c r="A7" s="4" t="s">
        <v>17</v>
      </c>
      <c r="B7" s="4" t="s">
        <v>11</v>
      </c>
      <c r="C7" s="4" t="s">
        <v>19</v>
      </c>
      <c r="D7" s="4"/>
      <c r="E7" s="4"/>
    </row>
    <row r="8">
      <c r="A8" s="4" t="s">
        <v>20</v>
      </c>
      <c r="B8" s="4" t="s">
        <v>15</v>
      </c>
      <c r="C8" s="4" t="s">
        <v>19</v>
      </c>
      <c r="D8" s="4"/>
      <c r="E8" s="4"/>
    </row>
    <row r="9">
      <c r="A9" s="4" t="s">
        <v>20</v>
      </c>
      <c r="B9" s="4" t="s">
        <v>16</v>
      </c>
      <c r="C9" s="4" t="s">
        <v>19</v>
      </c>
      <c r="D9" s="4"/>
      <c r="E9" s="4"/>
    </row>
    <row r="10">
      <c r="A10" s="4" t="s">
        <v>21</v>
      </c>
      <c r="B10" s="4" t="s">
        <v>11</v>
      </c>
      <c r="C10" s="4" t="s">
        <v>22</v>
      </c>
      <c r="D10" s="4"/>
      <c r="E10" s="4"/>
    </row>
    <row r="11">
      <c r="A11" s="4" t="s">
        <v>23</v>
      </c>
      <c r="B11" s="4" t="s">
        <v>15</v>
      </c>
      <c r="C11" s="4" t="s">
        <v>22</v>
      </c>
      <c r="D11" s="4"/>
      <c r="E11" s="4"/>
    </row>
    <row r="12">
      <c r="A12" s="4" t="s">
        <v>23</v>
      </c>
      <c r="B12" s="4" t="s">
        <v>16</v>
      </c>
      <c r="C12" s="4" t="s">
        <v>22</v>
      </c>
      <c r="D12" s="4"/>
      <c r="E12" s="4"/>
    </row>
    <row r="13">
      <c r="A13" s="4" t="s">
        <v>24</v>
      </c>
      <c r="B13" s="4" t="s">
        <v>11</v>
      </c>
      <c r="C13" s="4" t="s">
        <v>26</v>
      </c>
      <c r="D13" s="4"/>
      <c r="E13" s="4"/>
    </row>
    <row r="14">
      <c r="A14" s="4" t="s">
        <v>28</v>
      </c>
      <c r="B14" s="4" t="s">
        <v>15</v>
      </c>
      <c r="C14" s="4" t="s">
        <v>26</v>
      </c>
      <c r="D14" s="4"/>
      <c r="E14" s="4"/>
    </row>
    <row r="15">
      <c r="A15" s="4" t="s">
        <v>28</v>
      </c>
      <c r="B15" s="4" t="s">
        <v>16</v>
      </c>
      <c r="C15" s="4" t="s">
        <v>26</v>
      </c>
      <c r="D15" s="4"/>
      <c r="E15" s="4"/>
    </row>
    <row r="16">
      <c r="A16" s="4" t="s">
        <v>31</v>
      </c>
      <c r="B16" s="4" t="s">
        <v>11</v>
      </c>
      <c r="C16" s="4" t="s">
        <v>32</v>
      </c>
      <c r="D16" s="4"/>
      <c r="E16" s="4"/>
    </row>
    <row r="17">
      <c r="A17" s="4" t="s">
        <v>33</v>
      </c>
      <c r="B17" s="4" t="s">
        <v>15</v>
      </c>
      <c r="C17" s="4" t="s">
        <v>32</v>
      </c>
      <c r="D17" s="4"/>
      <c r="E17" s="4"/>
    </row>
    <row r="18">
      <c r="A18" s="4" t="s">
        <v>33</v>
      </c>
      <c r="B18" s="4" t="s">
        <v>37</v>
      </c>
      <c r="C18" s="4" t="s">
        <v>32</v>
      </c>
      <c r="D18" s="4" t="s">
        <v>38</v>
      </c>
      <c r="E18" s="4"/>
    </row>
    <row r="19">
      <c r="A19" s="4" t="s">
        <v>40</v>
      </c>
      <c r="B19" s="4" t="s">
        <v>11</v>
      </c>
      <c r="C19" s="4" t="s">
        <v>42</v>
      </c>
      <c r="D19" s="4"/>
      <c r="E19" s="4"/>
    </row>
    <row r="20">
      <c r="A20" s="4" t="s">
        <v>43</v>
      </c>
      <c r="B20" s="4" t="s">
        <v>15</v>
      </c>
      <c r="C20" s="4" t="s">
        <v>42</v>
      </c>
      <c r="D20" s="4"/>
      <c r="E20" s="4"/>
    </row>
    <row r="21">
      <c r="A21" s="4" t="s">
        <v>43</v>
      </c>
      <c r="B21" s="4" t="s">
        <v>37</v>
      </c>
      <c r="C21" s="4" t="s">
        <v>42</v>
      </c>
      <c r="D21" s="4" t="s">
        <v>44</v>
      </c>
      <c r="E21" s="4" t="s">
        <v>45</v>
      </c>
    </row>
    <row r="22" ht="15.75" customHeight="1">
      <c r="A22" s="4" t="s">
        <v>46</v>
      </c>
      <c r="B22" s="4" t="s">
        <v>11</v>
      </c>
      <c r="C22" s="4" t="s">
        <v>47</v>
      </c>
      <c r="D22" s="4"/>
      <c r="E22" s="4"/>
    </row>
    <row r="23" ht="15.75" customHeight="1">
      <c r="A23" s="4" t="s">
        <v>48</v>
      </c>
      <c r="B23" s="4" t="s">
        <v>11</v>
      </c>
      <c r="C23" s="4" t="s">
        <v>49</v>
      </c>
      <c r="D23" s="4"/>
      <c r="E23" s="4"/>
    </row>
    <row r="24" ht="15.75" customHeight="1">
      <c r="A24" s="4" t="s">
        <v>51</v>
      </c>
      <c r="B24" s="4" t="s">
        <v>11</v>
      </c>
      <c r="C24" s="4" t="s">
        <v>52</v>
      </c>
      <c r="D24" s="4"/>
      <c r="E24" s="4"/>
    </row>
    <row r="25" ht="15.75" customHeight="1">
      <c r="A25" s="4" t="s">
        <v>54</v>
      </c>
      <c r="B25" s="4" t="s">
        <v>11</v>
      </c>
      <c r="C25" s="4" t="s">
        <v>55</v>
      </c>
      <c r="D25" s="4"/>
      <c r="E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8.0"/>
    <col customWidth="1" min="3" max="3" width="14.0"/>
    <col customWidth="1" min="4" max="4" width="60.0"/>
    <col customWidth="1" min="5" max="26" width="8.71"/>
  </cols>
  <sheetData>
    <row r="1">
      <c r="A1" s="1" t="s">
        <v>0</v>
      </c>
    </row>
    <row r="2">
      <c r="A2" s="6" t="s">
        <v>3</v>
      </c>
    </row>
    <row r="4">
      <c r="A4" s="3" t="s">
        <v>25</v>
      </c>
      <c r="B4" s="3" t="s">
        <v>29</v>
      </c>
      <c r="C4" s="3" t="s">
        <v>30</v>
      </c>
      <c r="D4" s="8" t="s">
        <v>35</v>
      </c>
    </row>
    <row r="5">
      <c r="A5" s="9">
        <v>1.0</v>
      </c>
      <c r="B5" s="9" t="s">
        <v>11</v>
      </c>
      <c r="C5" s="9">
        <f t="array" ref="C5">SUMPRODUCT((eventos!$B$3:$B$499=B5)/(COUNTIFS(eventos!$B$3:$B$499,eventos!$B$3:$B$499,eventos!$C$3:$C$499,eventos!$C$3:$C$499)+(eventos!$B$3:$B$499="")))</f>
        <v>10</v>
      </c>
      <c r="D5" s="9" t="s">
        <v>75</v>
      </c>
    </row>
    <row r="6">
      <c r="A6" s="9">
        <v>2.0</v>
      </c>
      <c r="B6" s="9" t="s">
        <v>15</v>
      </c>
      <c r="C6" s="9">
        <f t="array" ref="C6">SUMPRODUCT((eventos!$B$3:$B$499=B6)/(COUNTIFS(eventos!$B$3:$B$499,eventos!$B$3:$B$499,eventos!$C$3:$C$499,eventos!$C$3:$C$499)+(eventos!$B$3:$B$499="")))</f>
        <v>6</v>
      </c>
      <c r="D6" s="13">
        <f t="shared" ref="D6:D7" si="1">IF(C5=0,0,C6/C5)</f>
        <v>0.6</v>
      </c>
    </row>
    <row r="7">
      <c r="A7" s="9">
        <v>3.0</v>
      </c>
      <c r="B7" s="9" t="s">
        <v>16</v>
      </c>
      <c r="C7" s="9">
        <f t="array" ref="C7">SUMPRODUCT((eventos!$B$3:$B$499=B7)/(COUNTIFS(eventos!$B$3:$B$499,eventos!$B$3:$B$499,eventos!$C$3:$C$499,eventos!$C$3:$C$499)+(eventos!$B$3:$B$499="")))</f>
        <v>4</v>
      </c>
      <c r="D7" s="13">
        <f t="shared" si="1"/>
        <v>0.6666666667</v>
      </c>
    </row>
    <row r="8">
      <c r="A8" s="9">
        <v>3.0</v>
      </c>
      <c r="B8" s="9" t="s">
        <v>37</v>
      </c>
      <c r="C8" s="9">
        <f t="array" ref="C8">SUMPRODUCT((eventos!$B$3:$B$499=B8)/(COUNTIFS(eventos!$B$3:$B$499,eventos!$B$3:$B$499,eventos!$C$3:$C$499,eventos!$C$3:$C$499)+(eventos!$B$3:$B$499="")))</f>
        <v>2</v>
      </c>
      <c r="D8" s="13">
        <f>IF(C6=0,0,C8/C6)</f>
        <v>0.3333333333</v>
      </c>
    </row>
    <row r="10">
      <c r="A10" s="12" t="s">
        <v>76</v>
      </c>
    </row>
    <row r="11">
      <c r="A11" s="3" t="s">
        <v>77</v>
      </c>
      <c r="B11" s="3" t="s">
        <v>78</v>
      </c>
      <c r="C11" s="3" t="s">
        <v>79</v>
      </c>
      <c r="D11" s="8" t="s">
        <v>80</v>
      </c>
    </row>
    <row r="12">
      <c r="A12" s="14" t="s">
        <v>81</v>
      </c>
      <c r="B12" s="15" t="s">
        <v>82</v>
      </c>
      <c r="C12" s="16">
        <f>IF(C5=0,0,C7/C5)</f>
        <v>0.4</v>
      </c>
      <c r="D12" s="17" t="s">
        <v>83</v>
      </c>
    </row>
    <row r="13">
      <c r="A13" s="10" t="s">
        <v>84</v>
      </c>
      <c r="B13" s="10" t="s">
        <v>85</v>
      </c>
      <c r="C13" s="18">
        <f>IF(C5=0,0,C6/C5)</f>
        <v>0.6</v>
      </c>
      <c r="D13" s="11" t="s">
        <v>86</v>
      </c>
    </row>
    <row r="14">
      <c r="A14" s="10" t="s">
        <v>87</v>
      </c>
      <c r="B14" s="10" t="s">
        <v>88</v>
      </c>
      <c r="C14" s="18">
        <f>IF(C6=0,0,C8/C6)</f>
        <v>0.3333333333</v>
      </c>
      <c r="D14" s="11" t="s">
        <v>89</v>
      </c>
    </row>
    <row r="17">
      <c r="A17" s="12" t="s">
        <v>90</v>
      </c>
    </row>
    <row r="18">
      <c r="A18" s="3" t="s">
        <v>7</v>
      </c>
      <c r="B18" s="3" t="s">
        <v>91</v>
      </c>
    </row>
    <row r="19">
      <c r="A19" s="9" t="s">
        <v>44</v>
      </c>
      <c r="B19" s="9">
        <f>COUNTIFS(eventos!$B$3:$B$499,"register_error",eventos!$D$3:$D$499,A19)</f>
        <v>1</v>
      </c>
    </row>
    <row r="20">
      <c r="A20" s="9" t="s">
        <v>66</v>
      </c>
      <c r="B20" s="9">
        <f>COUNTIFS(eventos!$B$3:$B$499,"register_error",eventos!$D$3:$D$499,A20)</f>
        <v>0</v>
      </c>
    </row>
    <row r="21" ht="15.75" customHeight="1">
      <c r="A21" s="9" t="s">
        <v>38</v>
      </c>
      <c r="B21" s="9">
        <f>COUNTIFS(eventos!$B$3:$B$499,"register_error",eventos!$D$3:$D$499,A21)</f>
        <v>1</v>
      </c>
    </row>
    <row r="22" ht="15.75" customHeight="1">
      <c r="A22" s="9" t="s">
        <v>70</v>
      </c>
      <c r="B22" s="9">
        <f>COUNTIFS(eventos!$B$3:$B$499,"register_error",eventos!$D$3:$D$499,A22)</f>
        <v>0</v>
      </c>
    </row>
    <row r="23" ht="15.75" customHeight="1">
      <c r="A23" s="9" t="s">
        <v>72</v>
      </c>
      <c r="B23" s="9">
        <f>COUNTIFS(eventos!$B$3:$B$499,"register_error",eventos!$D$3:$D$499,A23)</f>
        <v>0</v>
      </c>
    </row>
    <row r="24" ht="15.75" customHeight="1">
      <c r="A24" s="12" t="s">
        <v>92</v>
      </c>
      <c r="B24" s="12">
        <f>SUM(B19:B23)</f>
        <v>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