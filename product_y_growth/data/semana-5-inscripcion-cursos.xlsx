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de datos" sheetId="1" r:id="rId5"/>
    <sheet state="visible" name="eventos" sheetId="2" r:id="rId6"/>
    <sheet state="visible" name="Ratio de Interés" sheetId="3" r:id="rId7"/>
  </sheets>
  <definedNames/>
  <calcPr/>
</workbook>
</file>

<file path=xl/sharedStrings.xml><?xml version="1.0" encoding="utf-8"?>
<sst xmlns="http://schemas.openxmlformats.org/spreadsheetml/2006/main" count="227" uniqueCount="137">
  <si>
    <t>Simulador del Ratio de Interés</t>
  </si>
  <si>
    <t>Diccionario de datos del evento course_enrolled (propuesta)</t>
  </si>
  <si>
    <t>Estos datos de prueba se utilizan en la hoja "Ratio de Interés" para realizar los cálculos.</t>
  </si>
  <si>
    <t>Todo se calcula solo a partir de la hoja eventos. Se comparan, por curso, los clics en "Ver más" y en "Inscribirme".</t>
  </si>
  <si>
    <t>Datos que se guardan en la base de datos cuando alguien se inscribe en un curso</t>
  </si>
  <si>
    <t>Ratio de Interés = clics en «Inscribirme» (attempt_enrollment) / clics en «Ver más» (click_course_detail)</t>
  </si>
  <si>
    <t>course_enrolled es la inscripción confirmada: cuando POST /api/inscripciones responde 201, queda guardada una fila en la tabla inscripciones. En GA4, ese mismo momento se registra con el evento enrollment_success (Semana 4).</t>
  </si>
  <si>
    <t>Umbral de alerta</t>
  </si>
  <si>
    <t>Campo</t>
  </si>
  <si>
    <t>fecha</t>
  </si>
  <si>
    <t>Tipo</t>
  </si>
  <si>
    <t>Obligatorio</t>
  </si>
  <si>
    <t>evento</t>
  </si>
  <si>
    <t>Quién lo genera</t>
  </si>
  <si>
    <t>Supuesto ajustable: si el ratio de un curso queda por debajo, se marca para revisar.</t>
  </si>
  <si>
    <t>session_id</t>
  </si>
  <si>
    <t>Descripción</t>
  </si>
  <si>
    <t>course_id</t>
  </si>
  <si>
    <t>Ejemplo</t>
  </si>
  <si>
    <t>course_slug</t>
  </si>
  <si>
    <t>Equivalente en GA4</t>
  </si>
  <si>
    <t>Curso</t>
  </si>
  <si>
    <t>2026-10-13 09:00</t>
  </si>
  <si>
    <t>id</t>
  </si>
  <si>
    <t>Clics en «Ver más»</t>
  </si>
  <si>
    <t>click_course_detail</t>
  </si>
  <si>
    <t>int</t>
  </si>
  <si>
    <t>s1</t>
  </si>
  <si>
    <t>Clics en «Inscribirme»</t>
  </si>
  <si>
    <t>Sí</t>
  </si>
  <si>
    <t>Ratio de Interés</t>
  </si>
  <si>
    <t>desarrollo-frontend-react</t>
  </si>
  <si>
    <t>Base de datos (autoincremental)</t>
  </si>
  <si>
    <t>Estado</t>
  </si>
  <si>
    <t>Identificador de la inscripción</t>
  </si>
  <si>
    <t>2026-10-13 09:04</t>
  </si>
  <si>
    <t>s2</t>
  </si>
  <si>
    <t>—</t>
  </si>
  <si>
    <t>backend-node</t>
  </si>
  <si>
    <t>id_usuario</t>
  </si>
  <si>
    <t>2026-10-13 09:08</t>
  </si>
  <si>
    <t>s3</t>
  </si>
  <si>
    <t>diseno-ux-ui</t>
  </si>
  <si>
    <t>2026-10-13 09:10</t>
  </si>
  <si>
    <t>Backend, a partir del token de sesión</t>
  </si>
  <si>
    <t>attempt_enrollment</t>
  </si>
  <si>
    <t>Quién se inscribe. No viaja en el cuerpo de la petición: se toma del token para que nadie pueda inscribir a otra persona</t>
  </si>
  <si>
    <t>user_id (se configura al iniciar sesión)</t>
  </si>
  <si>
    <t>2026-10-13 09:12</t>
  </si>
  <si>
    <t>id_curso</t>
  </si>
  <si>
    <t>s4</t>
  </si>
  <si>
    <t>Frontend, en el cuerpo de la petición</t>
  </si>
  <si>
    <t>El curso elegido</t>
  </si>
  <si>
    <t>2026-10-13 09:14</t>
  </si>
  <si>
    <t>estado</t>
  </si>
  <si>
    <t>string</t>
  </si>
  <si>
    <t>2026-10-13 09:16</t>
  </si>
  <si>
    <t>Base de datos (por defecto activa)</t>
  </si>
  <si>
    <t>Estado de la inscripción: activa o cancelada (acordado en la Semana 2)</t>
  </si>
  <si>
    <t>s5</t>
  </si>
  <si>
    <t>activa</t>
  </si>
  <si>
    <t>2026-10-13 09:18</t>
  </si>
  <si>
    <t>fecha_inscripcion</t>
  </si>
  <si>
    <t>timestamp</t>
  </si>
  <si>
    <t>Base de datos (fecha y hora actual)</t>
  </si>
  <si>
    <t>Fecha y hora en que se confirmó la inscripción</t>
  </si>
  <si>
    <t>2026-10-13 09:20</t>
  </si>
  <si>
    <t>2026-10-13 10:21:00</t>
  </si>
  <si>
    <t>Fecha del evento (la agrega GA4)</t>
  </si>
  <si>
    <t>s6</t>
  </si>
  <si>
    <t>2026-10-13 09:24</t>
  </si>
  <si>
    <t>Recorrido de los datos al presionar «Inscribirme»</t>
  </si>
  <si>
    <t>s7</t>
  </si>
  <si>
    <t>Paso</t>
  </si>
  <si>
    <t>2026-10-13 09:28</t>
  </si>
  <si>
    <t>Desde → Hacia</t>
  </si>
  <si>
    <t>Qué viaja</t>
  </si>
  <si>
    <t>s8</t>
  </si>
  <si>
    <t>2026-10-13 09:32</t>
  </si>
  <si>
    <t>s9</t>
  </si>
  <si>
    <t>2026-10-13 09:34</t>
  </si>
  <si>
    <t>2026-10-13 09:36</t>
  </si>
  <si>
    <t>s10</t>
  </si>
  <si>
    <t>2026-10-13 09:40</t>
  </si>
  <si>
    <t>Frontend → Backend</t>
  </si>
  <si>
    <t>s11</t>
  </si>
  <si>
    <t>POST /api/inscripciones con { "id_curso": 14 } en el cuerpo y el token en el encabezado Authorization</t>
  </si>
  <si>
    <t>2026-10-13 09:44</t>
  </si>
  <si>
    <t>s12</t>
  </si>
  <si>
    <t>2026-10-13 09:48</t>
  </si>
  <si>
    <t>s13</t>
  </si>
  <si>
    <t>2026-10-13 09:52</t>
  </si>
  <si>
    <t>Backend → Base de datos</t>
  </si>
  <si>
    <t>s14</t>
  </si>
  <si>
    <t>Una fila nueva en inscripciones con id_usuario (del token) e id_curso. id, estado y fecha_inscripcion los completa la base de datos</t>
  </si>
  <si>
    <t>2026-10-13 09:54</t>
  </si>
  <si>
    <t>2026-10-13 09:56</t>
  </si>
  <si>
    <t>s15</t>
  </si>
  <si>
    <t>Backend → Frontend</t>
  </si>
  <si>
    <t>Respuesta 201 con la inscripción creada. Frontend envía enrollment_success a GA4</t>
  </si>
  <si>
    <t>2026-10-13 10:00</t>
  </si>
  <si>
    <t>s16</t>
  </si>
  <si>
    <t>2026-10-13 10:02</t>
  </si>
  <si>
    <t>fecha_inscripcion la genera la base de datos y no el navegador, porque el reloj del navegador puede estar mal configurado o ser manipulado.</t>
  </si>
  <si>
    <t>2026-10-13 10:04</t>
  </si>
  <si>
    <t>s17</t>
  </si>
  <si>
    <t>Una persona no puede inscribirse dos veces en el mismo curso: la restricción UNIQUE (id_usuario, id_curso) hace que la API responda 409 (acordado en la Semana 2).</t>
  </si>
  <si>
    <t>Los nombres de la consigna (user_id, course_id, timestamp) corresponden a id_usuario, id_curso y fecha_inscripcion, los nombres reales de la base de datos.</t>
  </si>
  <si>
    <t>2026-10-13 10:08</t>
  </si>
  <si>
    <t>s18</t>
  </si>
  <si>
    <t>2026-10-13 10:10</t>
  </si>
  <si>
    <t>2026-10-13 10:12</t>
  </si>
  <si>
    <t>s19</t>
  </si>
  <si>
    <t>2026-10-13 10:16</t>
  </si>
  <si>
    <t>s20</t>
  </si>
  <si>
    <t>2026-10-13 10:20</t>
  </si>
  <si>
    <t>s21</t>
  </si>
  <si>
    <t>2026-10-13 10:22</t>
  </si>
  <si>
    <t>2026-10-13 10:24</t>
  </si>
  <si>
    <t>s22</t>
  </si>
  <si>
    <t>2026-10-13 10:28</t>
  </si>
  <si>
    <t>s23</t>
  </si>
  <si>
    <t>2026-10-13 10:32</t>
  </si>
  <si>
    <t>s24</t>
  </si>
  <si>
    <t>2026-10-13 10:36</t>
  </si>
  <si>
    <t>s25</t>
  </si>
  <si>
    <t>2026-10-13 10:38</t>
  </si>
  <si>
    <t>2026-10-13 10:40</t>
  </si>
  <si>
    <t>Total del catálogo</t>
  </si>
  <si>
    <t>s26</t>
  </si>
  <si>
    <t>2026-10-13 10:44</t>
  </si>
  <si>
    <t>s27</t>
  </si>
  <si>
    <t>2026-10-13 10:48</t>
  </si>
  <si>
    <t>s28</t>
  </si>
  <si>
    <t>Un ratio bajo significa que mucha gente mira el curso pero pocos intentan inscribirse: revisar la descripción del curso (Marketing) o que el botón funcione (QA).</t>
  </si>
  <si>
    <t>En la consigna, "Ver detalle del curso" corresponde al botón "Ver más" de las tarjetas del catálogo.</t>
  </si>
  <si>
    <t>Se cuentan clics, como pide la consigna. El KPI 3 de la Semana 1 mide, en cambio, inscripciones confirmadas por sesión.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</si>
</sst>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4.0"/>
      <color theme="1"/>
      <name val="Arial"/>
    </font>
    <font>
      <i/>
      <sz val="11.0"/>
      <color rgb="FF595959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/>
    <font>
      <sz val="11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8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2" fillId="0" fontId="6" numFmtId="0" xfId="0" applyBorder="1" applyFont="1"/>
    <xf borderId="3" fillId="0" fontId="3" numFmtId="0" xfId="0" applyAlignment="1" applyBorder="1" applyFont="1">
      <alignment shrinkToFit="0" vertical="bottom" wrapText="0"/>
    </xf>
    <xf borderId="4" fillId="0" fontId="6" numFmtId="0" xfId="0" applyBorder="1" applyFont="1"/>
    <xf borderId="3" fillId="2" fontId="4" numFmtId="0" xfId="0" applyAlignment="1" applyBorder="1" applyFill="1" applyFont="1">
      <alignment shrinkToFit="0" vertical="top" wrapText="1"/>
    </xf>
    <xf borderId="3" fillId="3" fontId="7" numFmtId="9" xfId="0" applyAlignment="1" applyBorder="1" applyFill="1" applyFont="1" applyNumberFormat="1">
      <alignment shrinkToFit="0" vertical="bottom" wrapText="0"/>
    </xf>
    <xf borderId="3" fillId="0" fontId="5" numFmtId="0" xfId="0" applyAlignment="1" applyBorder="1" applyFont="1">
      <alignment shrinkToFit="0" vertical="top" wrapText="1"/>
    </xf>
    <xf borderId="3" fillId="0" fontId="7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5" fillId="2" fontId="4" numFmtId="0" xfId="0" applyAlignment="1" applyBorder="1" applyFill="1" applyFont="1">
      <alignment shrinkToFit="0" vertical="top" wrapText="1"/>
    </xf>
    <xf borderId="6" fillId="0" fontId="6" numFmtId="0" xfId="0" applyBorder="1" applyFont="1"/>
    <xf borderId="7" fillId="0" fontId="6" numFmtId="0" xfId="0" applyBorder="1" applyFont="1"/>
    <xf borderId="5" fillId="0" fontId="5" numFmtId="0" xfId="0" applyAlignment="1" applyBorder="1" applyFont="1">
      <alignment shrinkToFit="0" vertical="top" wrapText="1"/>
    </xf>
    <xf borderId="3" fillId="0" fontId="5" numFmtId="164" xfId="0" applyAlignment="1" applyBorder="1" applyFont="1" applyNumberFormat="1">
      <alignment shrinkToFit="0" vertical="bottom" wrapText="0"/>
    </xf>
    <xf borderId="3" fillId="4" fontId="3" numFmtId="0" xfId="0" applyAlignment="1" applyBorder="1" applyFill="1" applyFont="1">
      <alignment shrinkToFit="0" vertical="bottom" wrapText="0"/>
    </xf>
    <xf borderId="3" fillId="4" fontId="3" numFmtId="164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2">
    <dxf>
      <font>
        <b/>
        <color rgb="FF990000"/>
        <name val="Arial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2EFDA"/>
          <bgColor rgb="FFE2EFD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4.0"/>
    <col customWidth="1" min="3" max="3" width="12.0"/>
    <col customWidth="1" min="4" max="4" width="30.0"/>
    <col customWidth="1" min="5" max="5" width="48.0"/>
    <col customWidth="1" min="6" max="6" width="20.0"/>
    <col customWidth="1" min="7" max="7" width="28.0"/>
    <col customWidth="1" min="8" max="26" width="8.71"/>
  </cols>
  <sheetData>
    <row r="1">
      <c r="A1" s="1" t="s">
        <v>1</v>
      </c>
    </row>
    <row r="2">
      <c r="A2" s="3" t="s">
        <v>4</v>
      </c>
    </row>
    <row r="3">
      <c r="A3" s="6" t="s">
        <v>6</v>
      </c>
    </row>
    <row r="4">
      <c r="A4" s="10" t="s">
        <v>8</v>
      </c>
      <c r="B4" s="10" t="s">
        <v>10</v>
      </c>
      <c r="C4" s="10" t="s">
        <v>11</v>
      </c>
      <c r="D4" s="10" t="s">
        <v>13</v>
      </c>
      <c r="E4" s="10" t="s">
        <v>16</v>
      </c>
      <c r="F4" s="10" t="s">
        <v>18</v>
      </c>
      <c r="G4" s="10" t="s">
        <v>20</v>
      </c>
    </row>
    <row r="5">
      <c r="A5" s="12" t="s">
        <v>23</v>
      </c>
      <c r="B5" s="12" t="s">
        <v>26</v>
      </c>
      <c r="C5" s="12" t="s">
        <v>29</v>
      </c>
      <c r="D5" s="12" t="s">
        <v>32</v>
      </c>
      <c r="E5" s="12" t="s">
        <v>34</v>
      </c>
      <c r="F5" s="12">
        <v>88.0</v>
      </c>
      <c r="G5" s="12" t="s">
        <v>37</v>
      </c>
    </row>
    <row r="6">
      <c r="A6" s="12" t="s">
        <v>39</v>
      </c>
      <c r="B6" s="12" t="s">
        <v>26</v>
      </c>
      <c r="C6" s="12" t="s">
        <v>29</v>
      </c>
      <c r="D6" s="12" t="s">
        <v>44</v>
      </c>
      <c r="E6" s="12" t="s">
        <v>46</v>
      </c>
      <c r="F6" s="12">
        <v>7.0</v>
      </c>
      <c r="G6" s="12" t="s">
        <v>47</v>
      </c>
    </row>
    <row r="7">
      <c r="A7" s="12" t="s">
        <v>49</v>
      </c>
      <c r="B7" s="12" t="s">
        <v>26</v>
      </c>
      <c r="C7" s="12" t="s">
        <v>29</v>
      </c>
      <c r="D7" s="12" t="s">
        <v>51</v>
      </c>
      <c r="E7" s="12" t="s">
        <v>52</v>
      </c>
      <c r="F7" s="12">
        <v>14.0</v>
      </c>
      <c r="G7" s="12" t="s">
        <v>17</v>
      </c>
    </row>
    <row r="8">
      <c r="A8" s="12" t="s">
        <v>54</v>
      </c>
      <c r="B8" s="12" t="s">
        <v>55</v>
      </c>
      <c r="C8" s="12" t="s">
        <v>29</v>
      </c>
      <c r="D8" s="12" t="s">
        <v>57</v>
      </c>
      <c r="E8" s="12" t="s">
        <v>58</v>
      </c>
      <c r="F8" s="12" t="s">
        <v>60</v>
      </c>
      <c r="G8" s="12" t="s">
        <v>37</v>
      </c>
    </row>
    <row r="9">
      <c r="A9" s="12" t="s">
        <v>62</v>
      </c>
      <c r="B9" s="12" t="s">
        <v>63</v>
      </c>
      <c r="C9" s="12" t="s">
        <v>29</v>
      </c>
      <c r="D9" s="12" t="s">
        <v>64</v>
      </c>
      <c r="E9" s="12" t="s">
        <v>65</v>
      </c>
      <c r="F9" s="12" t="s">
        <v>67</v>
      </c>
      <c r="G9" s="12" t="s">
        <v>68</v>
      </c>
    </row>
    <row r="11">
      <c r="A11" s="4" t="s">
        <v>71</v>
      </c>
    </row>
    <row r="12" ht="15.0" customHeight="1">
      <c r="A12" s="10" t="s">
        <v>73</v>
      </c>
      <c r="B12" s="10" t="s">
        <v>75</v>
      </c>
      <c r="C12" s="15" t="s">
        <v>76</v>
      </c>
      <c r="D12" s="16"/>
      <c r="E12" s="16"/>
      <c r="F12" s="16"/>
      <c r="G12" s="17"/>
    </row>
    <row r="13" ht="30.0" customHeight="1">
      <c r="A13" s="12">
        <v>1.0</v>
      </c>
      <c r="B13" s="12" t="s">
        <v>84</v>
      </c>
      <c r="C13" s="18" t="s">
        <v>86</v>
      </c>
      <c r="D13" s="16"/>
      <c r="E13" s="16"/>
      <c r="F13" s="16"/>
      <c r="G13" s="17"/>
    </row>
    <row r="14" ht="30.0" customHeight="1">
      <c r="A14" s="12">
        <v>2.0</v>
      </c>
      <c r="B14" s="12" t="s">
        <v>92</v>
      </c>
      <c r="C14" s="18" t="s">
        <v>94</v>
      </c>
      <c r="D14" s="16"/>
      <c r="E14" s="16"/>
      <c r="F14" s="16"/>
      <c r="G14" s="17"/>
    </row>
    <row r="15" ht="30.0" customHeight="1">
      <c r="A15" s="12">
        <v>3.0</v>
      </c>
      <c r="B15" s="12" t="s">
        <v>98</v>
      </c>
      <c r="C15" s="18" t="s">
        <v>99</v>
      </c>
      <c r="D15" s="16"/>
      <c r="E15" s="16"/>
      <c r="F15" s="16"/>
      <c r="G15" s="17"/>
    </row>
    <row r="17">
      <c r="A17" s="3" t="s">
        <v>103</v>
      </c>
    </row>
    <row r="18">
      <c r="A18" s="3" t="s">
        <v>106</v>
      </c>
    </row>
    <row r="19">
      <c r="A19" s="3" t="s">
        <v>107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2:G12"/>
    <mergeCell ref="C13:G13"/>
    <mergeCell ref="C14:G14"/>
    <mergeCell ref="C15:G1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4" width="12.0"/>
    <col customWidth="1" min="5" max="5" width="28.0"/>
    <col customWidth="1" min="6" max="26" width="8.71"/>
  </cols>
  <sheetData>
    <row r="1" ht="30.0" customHeight="1">
      <c r="A1" s="5" t="s">
        <v>2</v>
      </c>
      <c r="B1" s="7"/>
      <c r="C1" s="7"/>
      <c r="D1" s="7"/>
      <c r="E1" s="9"/>
    </row>
    <row r="2">
      <c r="A2" s="10" t="s">
        <v>9</v>
      </c>
      <c r="B2" s="10" t="s">
        <v>12</v>
      </c>
      <c r="C2" s="10" t="s">
        <v>15</v>
      </c>
      <c r="D2" s="10" t="s">
        <v>17</v>
      </c>
      <c r="E2" s="10" t="s">
        <v>19</v>
      </c>
    </row>
    <row r="3">
      <c r="A3" s="13" t="s">
        <v>22</v>
      </c>
      <c r="B3" s="13" t="s">
        <v>25</v>
      </c>
      <c r="C3" s="13" t="s">
        <v>27</v>
      </c>
      <c r="D3" s="13">
        <v>1.0</v>
      </c>
      <c r="E3" s="13" t="s">
        <v>31</v>
      </c>
    </row>
    <row r="4">
      <c r="A4" s="13" t="s">
        <v>35</v>
      </c>
      <c r="B4" s="13" t="s">
        <v>25</v>
      </c>
      <c r="C4" s="13" t="s">
        <v>36</v>
      </c>
      <c r="D4" s="13">
        <v>3.0</v>
      </c>
      <c r="E4" s="13" t="s">
        <v>38</v>
      </c>
    </row>
    <row r="5">
      <c r="A5" s="13" t="s">
        <v>40</v>
      </c>
      <c r="B5" s="13" t="s">
        <v>25</v>
      </c>
      <c r="C5" s="13" t="s">
        <v>41</v>
      </c>
      <c r="D5" s="13">
        <v>2.0</v>
      </c>
      <c r="E5" s="13" t="s">
        <v>42</v>
      </c>
    </row>
    <row r="6">
      <c r="A6" s="13" t="s">
        <v>43</v>
      </c>
      <c r="B6" s="13" t="s">
        <v>45</v>
      </c>
      <c r="C6" s="13" t="s">
        <v>41</v>
      </c>
      <c r="D6" s="13">
        <v>2.0</v>
      </c>
      <c r="E6" s="13" t="s">
        <v>42</v>
      </c>
    </row>
    <row r="7">
      <c r="A7" s="13" t="s">
        <v>48</v>
      </c>
      <c r="B7" s="13" t="s">
        <v>25</v>
      </c>
      <c r="C7" s="13" t="s">
        <v>50</v>
      </c>
      <c r="D7" s="13">
        <v>1.0</v>
      </c>
      <c r="E7" s="13" t="s">
        <v>31</v>
      </c>
    </row>
    <row r="8">
      <c r="A8" s="13" t="s">
        <v>53</v>
      </c>
      <c r="B8" s="13" t="s">
        <v>45</v>
      </c>
      <c r="C8" s="13" t="s">
        <v>50</v>
      </c>
      <c r="D8" s="13">
        <v>1.0</v>
      </c>
      <c r="E8" s="13" t="s">
        <v>31</v>
      </c>
    </row>
    <row r="9">
      <c r="A9" s="13" t="s">
        <v>56</v>
      </c>
      <c r="B9" s="13" t="s">
        <v>25</v>
      </c>
      <c r="C9" s="13" t="s">
        <v>59</v>
      </c>
      <c r="D9" s="13">
        <v>2.0</v>
      </c>
      <c r="E9" s="13" t="s">
        <v>42</v>
      </c>
    </row>
    <row r="10">
      <c r="A10" s="13" t="s">
        <v>61</v>
      </c>
      <c r="B10" s="13" t="s">
        <v>45</v>
      </c>
      <c r="C10" s="13" t="s">
        <v>59</v>
      </c>
      <c r="D10" s="13">
        <v>2.0</v>
      </c>
      <c r="E10" s="13" t="s">
        <v>42</v>
      </c>
    </row>
    <row r="11">
      <c r="A11" s="13" t="s">
        <v>66</v>
      </c>
      <c r="B11" s="13" t="s">
        <v>25</v>
      </c>
      <c r="C11" s="13" t="s">
        <v>69</v>
      </c>
      <c r="D11" s="13">
        <v>1.0</v>
      </c>
      <c r="E11" s="13" t="s">
        <v>31</v>
      </c>
    </row>
    <row r="12">
      <c r="A12" s="13" t="s">
        <v>70</v>
      </c>
      <c r="B12" s="13" t="s">
        <v>25</v>
      </c>
      <c r="C12" s="13" t="s">
        <v>72</v>
      </c>
      <c r="D12" s="13">
        <v>3.0</v>
      </c>
      <c r="E12" s="13" t="s">
        <v>38</v>
      </c>
    </row>
    <row r="13">
      <c r="A13" s="13" t="s">
        <v>74</v>
      </c>
      <c r="B13" s="13" t="s">
        <v>25</v>
      </c>
      <c r="C13" s="13" t="s">
        <v>77</v>
      </c>
      <c r="D13" s="13">
        <v>3.0</v>
      </c>
      <c r="E13" s="13" t="s">
        <v>38</v>
      </c>
    </row>
    <row r="14">
      <c r="A14" s="13" t="s">
        <v>78</v>
      </c>
      <c r="B14" s="13" t="s">
        <v>25</v>
      </c>
      <c r="C14" s="13" t="s">
        <v>79</v>
      </c>
      <c r="D14" s="13">
        <v>2.0</v>
      </c>
      <c r="E14" s="13" t="s">
        <v>42</v>
      </c>
    </row>
    <row r="15">
      <c r="A15" s="13" t="s">
        <v>80</v>
      </c>
      <c r="B15" s="13" t="s">
        <v>45</v>
      </c>
      <c r="C15" s="13" t="s">
        <v>79</v>
      </c>
      <c r="D15" s="13">
        <v>2.0</v>
      </c>
      <c r="E15" s="13" t="s">
        <v>42</v>
      </c>
    </row>
    <row r="16">
      <c r="A16" s="13" t="s">
        <v>81</v>
      </c>
      <c r="B16" s="13" t="s">
        <v>25</v>
      </c>
      <c r="C16" s="13" t="s">
        <v>82</v>
      </c>
      <c r="D16" s="13">
        <v>2.0</v>
      </c>
      <c r="E16" s="13" t="s">
        <v>42</v>
      </c>
    </row>
    <row r="17">
      <c r="A17" s="13" t="s">
        <v>83</v>
      </c>
      <c r="B17" s="13" t="s">
        <v>25</v>
      </c>
      <c r="C17" s="13" t="s">
        <v>85</v>
      </c>
      <c r="D17" s="13">
        <v>3.0</v>
      </c>
      <c r="E17" s="13" t="s">
        <v>38</v>
      </c>
    </row>
    <row r="18">
      <c r="A18" s="13" t="s">
        <v>87</v>
      </c>
      <c r="B18" s="13" t="s">
        <v>25</v>
      </c>
      <c r="C18" s="13" t="s">
        <v>88</v>
      </c>
      <c r="D18" s="13">
        <v>1.0</v>
      </c>
      <c r="E18" s="13" t="s">
        <v>31</v>
      </c>
    </row>
    <row r="19">
      <c r="A19" s="13" t="s">
        <v>89</v>
      </c>
      <c r="B19" s="13" t="s">
        <v>25</v>
      </c>
      <c r="C19" s="13" t="s">
        <v>90</v>
      </c>
      <c r="D19" s="13">
        <v>2.0</v>
      </c>
      <c r="E19" s="13" t="s">
        <v>42</v>
      </c>
    </row>
    <row r="20">
      <c r="A20" s="13" t="s">
        <v>91</v>
      </c>
      <c r="B20" s="13" t="s">
        <v>25</v>
      </c>
      <c r="C20" s="13" t="s">
        <v>93</v>
      </c>
      <c r="D20" s="13">
        <v>3.0</v>
      </c>
      <c r="E20" s="13" t="s">
        <v>38</v>
      </c>
    </row>
    <row r="21" ht="15.75" customHeight="1">
      <c r="A21" s="13" t="s">
        <v>95</v>
      </c>
      <c r="B21" s="13" t="s">
        <v>45</v>
      </c>
      <c r="C21" s="13" t="s">
        <v>93</v>
      </c>
      <c r="D21" s="13">
        <v>3.0</v>
      </c>
      <c r="E21" s="13" t="s">
        <v>38</v>
      </c>
    </row>
    <row r="22" ht="15.75" customHeight="1">
      <c r="A22" s="13" t="s">
        <v>96</v>
      </c>
      <c r="B22" s="13" t="s">
        <v>25</v>
      </c>
      <c r="C22" s="13" t="s">
        <v>97</v>
      </c>
      <c r="D22" s="13">
        <v>3.0</v>
      </c>
      <c r="E22" s="13" t="s">
        <v>38</v>
      </c>
    </row>
    <row r="23" ht="15.75" customHeight="1">
      <c r="A23" s="13" t="s">
        <v>100</v>
      </c>
      <c r="B23" s="13" t="s">
        <v>25</v>
      </c>
      <c r="C23" s="13" t="s">
        <v>101</v>
      </c>
      <c r="D23" s="13">
        <v>1.0</v>
      </c>
      <c r="E23" s="13" t="s">
        <v>31</v>
      </c>
    </row>
    <row r="24" ht="15.75" customHeight="1">
      <c r="A24" s="13" t="s">
        <v>102</v>
      </c>
      <c r="B24" s="13" t="s">
        <v>45</v>
      </c>
      <c r="C24" s="13" t="s">
        <v>101</v>
      </c>
      <c r="D24" s="13">
        <v>1.0</v>
      </c>
      <c r="E24" s="13" t="s">
        <v>31</v>
      </c>
    </row>
    <row r="25" ht="15.75" customHeight="1">
      <c r="A25" s="13" t="s">
        <v>104</v>
      </c>
      <c r="B25" s="13" t="s">
        <v>25</v>
      </c>
      <c r="C25" s="13" t="s">
        <v>105</v>
      </c>
      <c r="D25" s="13">
        <v>1.0</v>
      </c>
      <c r="E25" s="13" t="s">
        <v>31</v>
      </c>
    </row>
    <row r="26" ht="15.75" customHeight="1">
      <c r="A26" s="13" t="s">
        <v>108</v>
      </c>
      <c r="B26" s="13" t="s">
        <v>25</v>
      </c>
      <c r="C26" s="13" t="s">
        <v>109</v>
      </c>
      <c r="D26" s="13">
        <v>1.0</v>
      </c>
      <c r="E26" s="13" t="s">
        <v>31</v>
      </c>
    </row>
    <row r="27" ht="15.75" customHeight="1">
      <c r="A27" s="13" t="s">
        <v>110</v>
      </c>
      <c r="B27" s="13" t="s">
        <v>45</v>
      </c>
      <c r="C27" s="13" t="s">
        <v>109</v>
      </c>
      <c r="D27" s="13">
        <v>1.0</v>
      </c>
      <c r="E27" s="13" t="s">
        <v>31</v>
      </c>
    </row>
    <row r="28" ht="15.75" customHeight="1">
      <c r="A28" s="13" t="s">
        <v>111</v>
      </c>
      <c r="B28" s="13" t="s">
        <v>25</v>
      </c>
      <c r="C28" s="13" t="s">
        <v>112</v>
      </c>
      <c r="D28" s="13">
        <v>1.0</v>
      </c>
      <c r="E28" s="13" t="s">
        <v>31</v>
      </c>
    </row>
    <row r="29" ht="15.75" customHeight="1">
      <c r="A29" s="13" t="s">
        <v>113</v>
      </c>
      <c r="B29" s="13" t="s">
        <v>25</v>
      </c>
      <c r="C29" s="13" t="s">
        <v>114</v>
      </c>
      <c r="D29" s="13">
        <v>2.0</v>
      </c>
      <c r="E29" s="13" t="s">
        <v>42</v>
      </c>
    </row>
    <row r="30" ht="15.75" customHeight="1">
      <c r="A30" s="13" t="s">
        <v>115</v>
      </c>
      <c r="B30" s="13" t="s">
        <v>25</v>
      </c>
      <c r="C30" s="13" t="s">
        <v>116</v>
      </c>
      <c r="D30" s="13">
        <v>1.0</v>
      </c>
      <c r="E30" s="13" t="s">
        <v>31</v>
      </c>
    </row>
    <row r="31" ht="15.75" customHeight="1">
      <c r="A31" s="13" t="s">
        <v>117</v>
      </c>
      <c r="B31" s="13" t="s">
        <v>45</v>
      </c>
      <c r="C31" s="13" t="s">
        <v>116</v>
      </c>
      <c r="D31" s="13">
        <v>1.0</v>
      </c>
      <c r="E31" s="13" t="s">
        <v>31</v>
      </c>
    </row>
    <row r="32" ht="15.75" customHeight="1">
      <c r="A32" s="13" t="s">
        <v>118</v>
      </c>
      <c r="B32" s="13" t="s">
        <v>25</v>
      </c>
      <c r="C32" s="13" t="s">
        <v>119</v>
      </c>
      <c r="D32" s="13">
        <v>2.0</v>
      </c>
      <c r="E32" s="13" t="s">
        <v>42</v>
      </c>
    </row>
    <row r="33" ht="15.75" customHeight="1">
      <c r="A33" s="13" t="s">
        <v>120</v>
      </c>
      <c r="B33" s="13" t="s">
        <v>25</v>
      </c>
      <c r="C33" s="13" t="s">
        <v>121</v>
      </c>
      <c r="D33" s="13">
        <v>3.0</v>
      </c>
      <c r="E33" s="13" t="s">
        <v>38</v>
      </c>
    </row>
    <row r="34" ht="15.75" customHeight="1">
      <c r="A34" s="13" t="s">
        <v>122</v>
      </c>
      <c r="B34" s="13" t="s">
        <v>25</v>
      </c>
      <c r="C34" s="13" t="s">
        <v>123</v>
      </c>
      <c r="D34" s="13">
        <v>3.0</v>
      </c>
      <c r="E34" s="13" t="s">
        <v>38</v>
      </c>
    </row>
    <row r="35" ht="15.75" customHeight="1">
      <c r="A35" s="13" t="s">
        <v>124</v>
      </c>
      <c r="B35" s="13" t="s">
        <v>25</v>
      </c>
      <c r="C35" s="13" t="s">
        <v>125</v>
      </c>
      <c r="D35" s="13">
        <v>2.0</v>
      </c>
      <c r="E35" s="13" t="s">
        <v>42</v>
      </c>
    </row>
    <row r="36" ht="15.75" customHeight="1">
      <c r="A36" s="13" t="s">
        <v>126</v>
      </c>
      <c r="B36" s="13" t="s">
        <v>45</v>
      </c>
      <c r="C36" s="13" t="s">
        <v>125</v>
      </c>
      <c r="D36" s="13">
        <v>2.0</v>
      </c>
      <c r="E36" s="13" t="s">
        <v>42</v>
      </c>
    </row>
    <row r="37" ht="15.75" customHeight="1">
      <c r="A37" s="13" t="s">
        <v>127</v>
      </c>
      <c r="B37" s="13" t="s">
        <v>25</v>
      </c>
      <c r="C37" s="13" t="s">
        <v>129</v>
      </c>
      <c r="D37" s="13">
        <v>3.0</v>
      </c>
      <c r="E37" s="13" t="s">
        <v>38</v>
      </c>
    </row>
    <row r="38" ht="15.75" customHeight="1">
      <c r="A38" s="13" t="s">
        <v>130</v>
      </c>
      <c r="B38" s="13" t="s">
        <v>25</v>
      </c>
      <c r="C38" s="13" t="s">
        <v>131</v>
      </c>
      <c r="D38" s="13">
        <v>1.0</v>
      </c>
      <c r="E38" s="13" t="s">
        <v>31</v>
      </c>
    </row>
    <row r="39" ht="15.75" customHeight="1">
      <c r="A39" s="13" t="s">
        <v>132</v>
      </c>
      <c r="B39" s="13" t="s">
        <v>25</v>
      </c>
      <c r="C39" s="13" t="s">
        <v>133</v>
      </c>
      <c r="D39" s="13">
        <v>3.0</v>
      </c>
      <c r="E39" s="13" t="s">
        <v>38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8.0"/>
    <col customWidth="1" min="3" max="3" width="20.0"/>
    <col customWidth="1" min="4" max="4" width="22.0"/>
    <col customWidth="1" min="5" max="5" width="18.0"/>
    <col customWidth="1" min="6" max="6" width="14.0"/>
    <col customWidth="1" min="7" max="26" width="8.71"/>
  </cols>
  <sheetData>
    <row r="1">
      <c r="A1" s="1" t="s">
        <v>0</v>
      </c>
    </row>
    <row r="2">
      <c r="A2" s="2" t="s">
        <v>3</v>
      </c>
    </row>
    <row r="4">
      <c r="A4" s="4" t="s">
        <v>5</v>
      </c>
    </row>
    <row r="6">
      <c r="A6" s="8" t="s">
        <v>7</v>
      </c>
      <c r="B6" s="11">
        <v>0.2</v>
      </c>
      <c r="C6" s="3" t="s">
        <v>14</v>
      </c>
    </row>
    <row r="8">
      <c r="A8" s="10" t="s">
        <v>17</v>
      </c>
      <c r="B8" s="10" t="s">
        <v>21</v>
      </c>
      <c r="C8" s="10" t="s">
        <v>24</v>
      </c>
      <c r="D8" s="10" t="s">
        <v>28</v>
      </c>
      <c r="E8" s="10" t="s">
        <v>30</v>
      </c>
      <c r="F8" s="10" t="s">
        <v>33</v>
      </c>
    </row>
    <row r="9">
      <c r="A9" s="14">
        <v>1.0</v>
      </c>
      <c r="B9" s="14" t="s">
        <v>31</v>
      </c>
      <c r="C9" s="14">
        <f>COUNTIFS(eventos!$B$3:$B$500,"click_course_detail",eventos!$D$3:$D$500,A9)</f>
        <v>10</v>
      </c>
      <c r="D9" s="14">
        <f>COUNTIFS(eventos!$B$3:$B$500,"attempt_enrollment",eventos!$D$3:$D$500,A9)</f>
        <v>4</v>
      </c>
      <c r="E9" s="19">
        <f t="shared" ref="E9:E12" si="1">IF(C9=0,0,D9/C9)</f>
        <v>0.4</v>
      </c>
      <c r="F9" s="14" t="str">
        <f t="shared" ref="F9:F11" si="2">IF(C9=0,"Sin datos",IF(E9&lt;$B$6,"Revisar","OK"))</f>
        <v>OK</v>
      </c>
    </row>
    <row r="10">
      <c r="A10" s="14">
        <v>2.0</v>
      </c>
      <c r="B10" s="14" t="s">
        <v>42</v>
      </c>
      <c r="C10" s="14">
        <f>COUNTIFS(eventos!$B$3:$B$500,"click_course_detail",eventos!$D$3:$D$500,A10)</f>
        <v>8</v>
      </c>
      <c r="D10" s="14">
        <f>COUNTIFS(eventos!$B$3:$B$500,"attempt_enrollment",eventos!$D$3:$D$500,A10)</f>
        <v>4</v>
      </c>
      <c r="E10" s="19">
        <f t="shared" si="1"/>
        <v>0.5</v>
      </c>
      <c r="F10" s="14" t="str">
        <f t="shared" si="2"/>
        <v>OK</v>
      </c>
    </row>
    <row r="11">
      <c r="A11" s="14">
        <v>3.0</v>
      </c>
      <c r="B11" s="14" t="s">
        <v>38</v>
      </c>
      <c r="C11" s="14">
        <f>COUNTIFS(eventos!$B$3:$B$500,"click_course_detail",eventos!$D$3:$D$500,A11)</f>
        <v>10</v>
      </c>
      <c r="D11" s="14">
        <f>COUNTIFS(eventos!$B$3:$B$500,"attempt_enrollment",eventos!$D$3:$D$500,A11)</f>
        <v>1</v>
      </c>
      <c r="E11" s="19">
        <f t="shared" si="1"/>
        <v>0.1</v>
      </c>
      <c r="F11" s="14" t="str">
        <f t="shared" si="2"/>
        <v>Revisar</v>
      </c>
    </row>
    <row r="12">
      <c r="A12" s="20"/>
      <c r="B12" s="20" t="s">
        <v>128</v>
      </c>
      <c r="C12" s="20">
        <f t="shared" ref="C12:D12" si="3">SUM(C9:C11)</f>
        <v>28</v>
      </c>
      <c r="D12" s="20">
        <f t="shared" si="3"/>
        <v>9</v>
      </c>
      <c r="E12" s="21">
        <f t="shared" si="1"/>
        <v>0.3214285714</v>
      </c>
      <c r="F12" s="20"/>
    </row>
    <row r="14">
      <c r="A14" s="3" t="s">
        <v>134</v>
      </c>
    </row>
    <row r="15">
      <c r="A15" s="2" t="s">
        <v>135</v>
      </c>
    </row>
    <row r="16">
      <c r="A16" s="3" t="s">
        <v>136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9:F11">
    <cfRule type="cellIs" dxfId="0" priority="1" operator="equal">
      <formula>"Revisar"</formula>
    </cfRule>
  </conditionalFormatting>
  <conditionalFormatting sqref="F9:F11">
    <cfRule type="cellIs" dxfId="1" priority="2" operator="equal">
      <formula>"OK"</formula>
    </cfRule>
  </conditionalFormatting>
  <printOptions/>
  <pageMargins bottom="1.0" footer="0.0" header="0.0" left="0.75" right="0.75" top="1.0"/>
  <pageSetup paperSize="9" orientation="portrait"/>
  <drawing r:id="rId1"/>
</worksheet>
</file>